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83320197832042/Área de Trabalho/Simulador_Fundos_Imobiliários/Simulador.xlsx/"/>
    </mc:Choice>
  </mc:AlternateContent>
  <xr:revisionPtr revIDLastSave="2" documentId="8_{3866B70E-651D-4B56-AC7F-BE4E1C3D5591}" xr6:coauthVersionLast="47" xr6:coauthVersionMax="47" xr10:uidLastSave="{41865525-79D7-4650-8BF7-E8AC989453BE}"/>
  <bookViews>
    <workbookView xWindow="-108" yWindow="-108" windowWidth="23256" windowHeight="12456" xr2:uid="{E20455A7-B176-4325-B05E-3180FFFF82A3}"/>
  </bookViews>
  <sheets>
    <sheet name="APP IMOBI INVEST" sheetId="1" r:id="rId1"/>
    <sheet name="TABELA" sheetId="3" r:id="rId2"/>
  </sheets>
  <definedNames>
    <definedName name="aporte">'APP IMOBI INVEST'!$D$22</definedName>
    <definedName name="patrimonio">'APP IMOBI INVEST'!$D$25</definedName>
    <definedName name="qtde_anos">'APP IMOBI INVEST'!$D$23</definedName>
    <definedName name="rendimento_carteira">'APP IMOBI INVEST'!$D$18</definedName>
    <definedName name="salario">'APP IMOBI INVEST'!$D$17</definedName>
    <definedName name="sugetao_investimento">'APP IMOBI INVEST'!$D$19</definedName>
    <definedName name="taxa_mensal">'APP IMOBI INVEST'!$D$24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  <c r="D42" i="1" s="1"/>
  <c r="C43" i="1"/>
  <c r="C44" i="1"/>
  <c r="D44" i="1" s="1"/>
  <c r="C45" i="1"/>
  <c r="D45" i="1" s="1"/>
  <c r="C46" i="1"/>
  <c r="D46" i="1" s="1"/>
  <c r="C41" i="1"/>
  <c r="D41" i="1" s="1"/>
  <c r="I5" i="3"/>
  <c r="A16" i="3"/>
  <c r="A17" i="3"/>
  <c r="A18" i="3"/>
  <c r="A19" i="3"/>
  <c r="A20" i="3"/>
  <c r="A15" i="3"/>
  <c r="A3" i="3"/>
  <c r="A10" i="3"/>
  <c r="A11" i="3"/>
  <c r="A12" i="3"/>
  <c r="A13" i="3"/>
  <c r="A14" i="3"/>
  <c r="A9" i="3"/>
  <c r="A4" i="3"/>
  <c r="A5" i="3"/>
  <c r="A6" i="3"/>
  <c r="A7" i="3"/>
  <c r="A8" i="3"/>
  <c r="C38" i="1"/>
  <c r="D25" i="1"/>
  <c r="D26" i="1" s="1"/>
  <c r="D19" i="1"/>
  <c r="C31" i="1"/>
  <c r="D31" i="1" s="1"/>
  <c r="C29" i="1"/>
  <c r="C32" i="1"/>
  <c r="D32" i="1" s="1"/>
  <c r="C30" i="1"/>
  <c r="D30" i="1" s="1"/>
  <c r="C33" i="1"/>
  <c r="D33" i="1" s="1"/>
  <c r="D29" i="1"/>
  <c r="D43" i="1" l="1"/>
  <c r="D47" i="1" s="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<sst xmlns="http://schemas.openxmlformats.org/spreadsheetml/2006/main" count="71" uniqueCount="34">
  <si>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</si>
  <si>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</si>
  <si>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</si>
  <si>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</si>
  <si>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</si>
  <si>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</si>
  <si>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Quantos em 2 anos ?</t>
  </si>
  <si>
    <t>Quantos em 5 anos ?</t>
  </si>
  <si>
    <t>Quantos em 10 anos ?</t>
  </si>
  <si>
    <t>Quantos em 20 anos ?</t>
  </si>
  <si>
    <t>Quantos em 30 anos ?</t>
  </si>
  <si>
    <t xml:space="preserve">CENÁRIOS </t>
  </si>
  <si>
    <t>DIVIDENDO</t>
  </si>
  <si>
    <t>CONFIGURAÇÕES</t>
  </si>
  <si>
    <t xml:space="preserve">Rendimento Carteira </t>
  </si>
  <si>
    <t>Salário</t>
  </si>
  <si>
    <t>Sugestão de Investimento</t>
  </si>
  <si>
    <t>Agressivo</t>
  </si>
  <si>
    <t>Moderado</t>
  </si>
  <si>
    <t>Conservador</t>
  </si>
  <si>
    <t xml:space="preserve">Valor a ser investido por mês </t>
  </si>
  <si>
    <t>PERFIL</t>
  </si>
  <si>
    <t>Percentual Sugerido</t>
  </si>
  <si>
    <t>Valores</t>
  </si>
  <si>
    <t>TIPO DE FII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</si>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</sst>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0"/>
      <color theme="0"/>
      <name val="Segoi ui"/>
    </font>
    <font>
      <b/>
      <sz val="20"/>
      <color theme="0"/>
      <name val="Segoi ui"/>
    </font>
    <font>
      <sz val="12"/>
      <color theme="1"/>
      <name val="Segoi ui"/>
    </font>
    <font>
      <b/>
      <sz val="11"/>
      <color theme="1"/>
      <name val="Segoi ui"/>
    </font>
    <font>
      <b/>
      <sz val="12"/>
      <color theme="1"/>
      <name val="Segoi ui"/>
    </font>
    <font>
      <sz val="11"/>
      <color theme="1"/>
      <name val="Segoi ui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</fills>
  <borders count="2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0" tint="-0.14996795556505021"/>
      </bottom>
      <diagonal/>
    </border>
    <border>
      <left/>
      <right style="thin">
        <color theme="0" tint="-0.24994659260841701"/>
      </right>
      <top/>
      <bottom style="medium">
        <color theme="0" tint="-0.14996795556505021"/>
      </bottom>
      <diagonal/>
    </border>
    <border>
      <left style="medium">
        <color indexed="64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thin">
        <color theme="0" tint="-0.2499465926084170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/>
      <top style="medium">
        <color theme="0" tint="-0.14996795556505021"/>
      </top>
      <bottom style="medium">
        <color indexed="64"/>
      </bottom>
      <diagonal/>
    </border>
    <border>
      <left/>
      <right style="thin">
        <color theme="0" tint="-0.24994659260841701"/>
      </right>
      <top style="medium">
        <color theme="0" tint="-0.149967955565050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6" borderId="0" applyNumberFormat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9" fontId="0" fillId="0" borderId="0" xfId="0" applyNumberFormat="1"/>
    <xf numFmtId="0" fontId="3" fillId="2" borderId="9" xfId="0" applyFont="1" applyFill="1" applyBorder="1" applyAlignment="1">
      <alignment horizontal="left" vertical="center"/>
    </xf>
    <xf numFmtId="164" fontId="0" fillId="0" borderId="15" xfId="1" applyNumberFormat="1" applyFon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4" fillId="0" borderId="0" xfId="0" applyFont="1"/>
    <xf numFmtId="164" fontId="8" fillId="0" borderId="6" xfId="0" applyNumberFormat="1" applyFont="1" applyBorder="1" applyAlignment="1">
      <alignment horizontal="center"/>
    </xf>
    <xf numFmtId="1" fontId="8" fillId="0" borderId="6" xfId="0" applyNumberFormat="1" applyFont="1" applyBorder="1" applyAlignment="1">
      <alignment horizontal="center"/>
    </xf>
    <xf numFmtId="10" fontId="8" fillId="0" borderId="6" xfId="0" applyNumberFormat="1" applyFont="1" applyBorder="1" applyAlignment="1">
      <alignment horizontal="center"/>
    </xf>
    <xf numFmtId="8" fontId="8" fillId="0" borderId="6" xfId="0" applyNumberFormat="1" applyFont="1" applyBorder="1" applyAlignment="1">
      <alignment horizontal="center"/>
    </xf>
    <xf numFmtId="8" fontId="8" fillId="0" borderId="8" xfId="0" applyNumberFormat="1" applyFont="1" applyBorder="1" applyAlignment="1">
      <alignment horizontal="center"/>
    </xf>
    <xf numFmtId="8" fontId="10" fillId="3" borderId="12" xfId="0" applyNumberFormat="1" applyFont="1" applyFill="1" applyBorder="1" applyAlignment="1">
      <alignment horizontal="center"/>
    </xf>
    <xf numFmtId="8" fontId="10" fillId="3" borderId="4" xfId="0" applyNumberFormat="1" applyFont="1" applyFill="1" applyBorder="1" applyAlignment="1">
      <alignment horizontal="center"/>
    </xf>
    <xf numFmtId="8" fontId="10" fillId="3" borderId="13" xfId="0" applyNumberFormat="1" applyFont="1" applyFill="1" applyBorder="1" applyAlignment="1">
      <alignment horizontal="center"/>
    </xf>
    <xf numFmtId="8" fontId="10" fillId="3" borderId="6" xfId="0" applyNumberFormat="1" applyFont="1" applyFill="1" applyBorder="1" applyAlignment="1">
      <alignment horizontal="center"/>
    </xf>
    <xf numFmtId="8" fontId="10" fillId="3" borderId="14" xfId="0" applyNumberFormat="1" applyFont="1" applyFill="1" applyBorder="1" applyAlignment="1">
      <alignment horizontal="center"/>
    </xf>
    <xf numFmtId="8" fontId="10" fillId="3" borderId="8" xfId="0" applyNumberFormat="1" applyFont="1" applyFill="1" applyBorder="1" applyAlignment="1">
      <alignment horizontal="center"/>
    </xf>
    <xf numFmtId="0" fontId="0" fillId="0" borderId="0" xfId="0" applyAlignment="1">
      <alignment horizontal="left" indent="3"/>
    </xf>
    <xf numFmtId="0" fontId="7" fillId="3" borderId="3" xfId="0" applyFont="1" applyFill="1" applyBorder="1" applyAlignment="1">
      <alignment horizontal="left" indent="3"/>
    </xf>
    <xf numFmtId="0" fontId="7" fillId="3" borderId="5" xfId="0" applyFont="1" applyFill="1" applyBorder="1" applyAlignment="1">
      <alignment horizontal="left" indent="3"/>
    </xf>
    <xf numFmtId="0" fontId="7" fillId="3" borderId="7" xfId="0" applyFont="1" applyFill="1" applyBorder="1" applyAlignment="1">
      <alignment horizontal="left" indent="3"/>
    </xf>
    <xf numFmtId="0" fontId="7" fillId="7" borderId="0" xfId="0" applyFont="1" applyFill="1" applyAlignment="1">
      <alignment horizontal="left" indent="3"/>
    </xf>
    <xf numFmtId="0" fontId="11" fillId="6" borderId="0" xfId="3"/>
    <xf numFmtId="0" fontId="0" fillId="3" borderId="0" xfId="0" applyFill="1"/>
    <xf numFmtId="164" fontId="0" fillId="3" borderId="0" xfId="0" applyNumberFormat="1" applyFill="1"/>
    <xf numFmtId="0" fontId="11" fillId="6" borderId="0" xfId="3" applyAlignment="1">
      <alignment horizontal="center" vertic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center"/>
    </xf>
    <xf numFmtId="0" fontId="0" fillId="0" borderId="23" xfId="0" applyBorder="1"/>
    <xf numFmtId="0" fontId="13" fillId="0" borderId="23" xfId="0" applyFont="1" applyBorder="1" applyAlignment="1">
      <alignment horizontal="center"/>
    </xf>
    <xf numFmtId="9" fontId="0" fillId="0" borderId="0" xfId="0" applyNumberFormat="1" applyAlignment="1">
      <alignment horizontal="center" vertical="center"/>
    </xf>
    <xf numFmtId="9" fontId="0" fillId="0" borderId="23" xfId="0" applyNumberFormat="1" applyBorder="1" applyAlignment="1">
      <alignment horizontal="center" vertical="center"/>
    </xf>
    <xf numFmtId="0" fontId="0" fillId="4" borderId="0" xfId="0" applyFill="1"/>
    <xf numFmtId="0" fontId="13" fillId="4" borderId="0" xfId="0" applyFont="1" applyFill="1" applyAlignment="1">
      <alignment horizontal="center"/>
    </xf>
    <xf numFmtId="9" fontId="0" fillId="4" borderId="0" xfId="0" applyNumberFormat="1" applyFill="1" applyAlignment="1">
      <alignment horizontal="center" vertical="center"/>
    </xf>
    <xf numFmtId="9" fontId="0" fillId="0" borderId="0" xfId="2" applyFont="1"/>
    <xf numFmtId="0" fontId="12" fillId="3" borderId="0" xfId="0" applyFont="1" applyFill="1" applyAlignment="1">
      <alignment horizontal="center" vertical="center"/>
    </xf>
    <xf numFmtId="0" fontId="13" fillId="0" borderId="24" xfId="0" applyFont="1" applyBorder="1" applyAlignment="1">
      <alignment horizontal="center"/>
    </xf>
    <xf numFmtId="9" fontId="0" fillId="0" borderId="24" xfId="0" applyNumberFormat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9" fillId="3" borderId="19" xfId="0" applyFont="1" applyFill="1" applyBorder="1" applyAlignment="1">
      <alignment horizontal="left" indent="3"/>
    </xf>
    <xf numFmtId="0" fontId="9" fillId="3" borderId="20" xfId="0" applyFont="1" applyFill="1" applyBorder="1" applyAlignment="1">
      <alignment horizontal="left" indent="3"/>
    </xf>
    <xf numFmtId="0" fontId="9" fillId="3" borderId="21" xfId="0" applyFont="1" applyFill="1" applyBorder="1" applyAlignment="1">
      <alignment horizontal="left" indent="3"/>
    </xf>
    <xf numFmtId="0" fontId="9" fillId="3" borderId="22" xfId="0" applyFont="1" applyFill="1" applyBorder="1" applyAlignment="1">
      <alignment horizontal="left" indent="3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left" indent="3"/>
    </xf>
    <xf numFmtId="0" fontId="7" fillId="0" borderId="20" xfId="0" applyFont="1" applyBorder="1" applyAlignment="1">
      <alignment horizontal="left" indent="3"/>
    </xf>
    <xf numFmtId="0" fontId="5" fillId="4" borderId="2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left" indent="3"/>
    </xf>
    <xf numFmtId="0" fontId="7" fillId="5" borderId="18" xfId="0" applyFont="1" applyFill="1" applyBorder="1" applyAlignment="1">
      <alignment horizontal="left" indent="3"/>
    </xf>
    <xf numFmtId="0" fontId="7" fillId="5" borderId="19" xfId="0" applyFont="1" applyFill="1" applyBorder="1" applyAlignment="1">
      <alignment horizontal="left" indent="3"/>
    </xf>
    <xf numFmtId="0" fontId="7" fillId="5" borderId="20" xfId="0" applyFont="1" applyFill="1" applyBorder="1" applyAlignment="1">
      <alignment horizontal="left" indent="3"/>
    </xf>
    <xf numFmtId="0" fontId="6" fillId="2" borderId="2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left" indent="3"/>
    </xf>
    <xf numFmtId="0" fontId="7" fillId="0" borderId="18" xfId="0" applyFont="1" applyBorder="1" applyAlignment="1">
      <alignment horizontal="left" indent="3"/>
    </xf>
    <xf numFmtId="0" fontId="7" fillId="5" borderId="21" xfId="0" applyFont="1" applyFill="1" applyBorder="1" applyAlignment="1">
      <alignment horizontal="left" indent="3"/>
    </xf>
    <xf numFmtId="0" fontId="7" fillId="5" borderId="22" xfId="0" applyFont="1" applyFill="1" applyBorder="1" applyAlignment="1">
      <alignment horizontal="left" indent="3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B60-451D-BD5D-C375F4093BE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60-451D-BD5D-C375F4093BE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B60-451D-BD5D-C375F4093BE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6B60-451D-BD5D-C375F4093BE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6B60-451D-BD5D-C375F4093BE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6B60-451D-BD5D-C375F4093B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'APP IMOBI INVEST'!$B$41:$B$46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'APP IMOBI INVEST'!$C$41:$C$46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6E-43BF-B155-BA2580D966D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15240</xdr:colOff>
      <xdr:row>0</xdr:row>
      <xdr:rowOff>129540</xdr:rowOff>
    </xdr:from>
    <xdr:to>
      <xdr:col>4</xdr:col>
      <xdr:colOff>22860</xdr:colOff>
      <xdr:row>14</xdr:row>
      <xdr:rowOff>121920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EFA17EE-8ED5-3B6B-B6BF-7179AD659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" y="129540"/>
          <a:ext cx="7338060" cy="2552700"/>
        </a:xfrm>
        <a:prstGeom prst="rect">
          <a:avLst/>
        </a:prstGeom>
      </xdr:spPr>
    </xdr:pic>
    <xdr:clientData/>
  </xdr:twoCellAnchor>
  <xdr:twoCellAnchor>
    <xdr:from>
      <xdr:col>1</xdr:col>
      <xdr:colOff>1341120</xdr:colOff>
      <xdr:row>48</xdr:row>
      <xdr:rowOff>118110</xdr:rowOff>
    </xdr:from>
    <xdr:to>
      <xdr:col>2</xdr:col>
      <xdr:colOff>2423160</xdr:colOff>
      <xdr:row>63</xdr:row>
      <xdr:rowOff>118110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842AC85-E2D2-1C84-5813-D6E750F62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89043-564C-47ED-B888-6840EE216E54}">
  <dimension ref="A15:L51"/>
  <sheetViews>
    <sheetView showGridLines="0" tabSelected="1" workbookViewId="0">
      <selection activeCell="H9" sqref="H9"/>
    </sheetView>
  </sheetViews>
  <sheetFormatPr defaultColWidth="0" defaultRowHeight="14.4"/>
  <cols>
    <col min="1" max="1" width="8.88671875" customWidth="1"/>
    <col min="2" max="2" width="50.88671875" customWidth="1"/>
    <col min="3" max="3" width="38.88671875" customWidth="1"/>
    <col min="4" max="4" width="17.109375" customWidth="1"/>
    <col min="5" max="5" width="27.109375" customWidth="1"/>
    <col min="6" max="6" width="21.33203125" customWidth="1"/>
    <col min="7" max="11" width="8.88671875" customWidth="1"/>
    <col min="12" max="12" width="10.44140625" hidden="1" customWidth="1"/>
    <col min="13" max="16384" width="8.88671875" hidden="1"/>
  </cols>
  <sheetData>
    <row r="15" spans="2:5" ht="16.2" thickBot="1">
      <c r="E15" s="8"/>
    </row>
    <row r="16" spans="2:5" ht="39" customHeight="1">
      <c r="B16" s="54" t="s">
        <v>13</v>
      </c>
      <c r="C16" s="55"/>
      <c r="D16" s="56"/>
    </row>
    <row r="17" spans="1:6" ht="16.2" thickBot="1">
      <c r="B17" s="57" t="s">
        <v>15</v>
      </c>
      <c r="C17" s="58"/>
      <c r="D17" s="5">
        <v>4000</v>
      </c>
    </row>
    <row r="18" spans="1:6" ht="16.2" thickBot="1">
      <c r="B18" s="59" t="s">
        <v>14</v>
      </c>
      <c r="C18" s="60"/>
      <c r="D18" s="6">
        <v>0.01</v>
      </c>
    </row>
    <row r="19" spans="1:6" ht="16.2" thickBot="1">
      <c r="B19" s="65" t="s">
        <v>16</v>
      </c>
      <c r="C19" s="66"/>
      <c r="D19" s="7">
        <f>D17*30%</f>
        <v>1200</v>
      </c>
    </row>
    <row r="20" spans="1:6" ht="15" thickBot="1"/>
    <row r="21" spans="1:6" ht="25.8">
      <c r="B21" s="61" t="s">
        <v>5</v>
      </c>
      <c r="C21" s="62"/>
      <c r="D21" s="4"/>
      <c r="E21" s="3"/>
    </row>
    <row r="22" spans="1:6" ht="16.2" thickBot="1">
      <c r="B22" s="63" t="s">
        <v>0</v>
      </c>
      <c r="C22" s="64"/>
      <c r="D22" s="9">
        <v>100</v>
      </c>
    </row>
    <row r="23" spans="1:6" ht="16.2" thickBot="1">
      <c r="B23" s="52" t="s">
        <v>1</v>
      </c>
      <c r="C23" s="53"/>
      <c r="D23" s="10">
        <v>1</v>
      </c>
    </row>
    <row r="24" spans="1:6" ht="15.6" customHeight="1" thickBot="1">
      <c r="B24" s="52" t="s">
        <v>2</v>
      </c>
      <c r="C24" s="53"/>
      <c r="D24" s="11">
        <v>1.0200000000000001E-2</v>
      </c>
    </row>
    <row r="25" spans="1:6" ht="16.2" thickBot="1">
      <c r="A25" s="1">
        <v>2</v>
      </c>
      <c r="B25" s="46" t="s">
        <v>3</v>
      </c>
      <c r="C25" s="47"/>
      <c r="D25" s="12">
        <f>FV(taxa_mensal,qtde_anos*12,aporte*-1)</f>
        <v>1269.6622773737452</v>
      </c>
      <c r="F25" s="20"/>
    </row>
    <row r="26" spans="1:6" ht="16.2" thickBot="1">
      <c r="A26" s="1">
        <v>5</v>
      </c>
      <c r="B26" s="48" t="s">
        <v>4</v>
      </c>
      <c r="C26" s="49"/>
      <c r="D26" s="13">
        <f>patrimonio*rendimento_carteira</f>
        <v>12.696622773737452</v>
      </c>
    </row>
    <row r="27" spans="1:6" ht="15" thickBot="1">
      <c r="A27" s="1">
        <v>10</v>
      </c>
    </row>
    <row r="28" spans="1:6" ht="25.2" thickBot="1">
      <c r="A28" s="1">
        <v>20</v>
      </c>
      <c r="B28" s="50" t="s">
        <v>11</v>
      </c>
      <c r="C28" s="51"/>
      <c r="D28" s="2" t="s">
        <v>12</v>
      </c>
    </row>
    <row r="29" spans="1:6" ht="15.6">
      <c r="A29" s="1">
        <v>30</v>
      </c>
      <c r="B29" s="21" t="s">
        <v>6</v>
      </c>
      <c r="C29" s="14">
        <f>FV($D$24,$A25*12,$D$22*-1)</f>
        <v>2703.752869203252</v>
      </c>
      <c r="D29" s="15">
        <f>C29*rendimento_carteira</f>
        <v>27.03752869203252</v>
      </c>
    </row>
    <row r="30" spans="1:6" ht="15.6">
      <c r="B30" s="22" t="s">
        <v>7</v>
      </c>
      <c r="C30" s="16">
        <f>FV($D$24,$A26*12,$D$22*-1)</f>
        <v>8219.6841728838917</v>
      </c>
      <c r="D30" s="17">
        <f>C30*rendimento_carteira</f>
        <v>82.196841728838919</v>
      </c>
    </row>
    <row r="31" spans="1:6" ht="15.6">
      <c r="B31" s="22" t="s">
        <v>8</v>
      </c>
      <c r="C31" s="16">
        <f>FV($D$24,$A27*12,$D$22*-1)</f>
        <v>23330.815551767493</v>
      </c>
      <c r="D31" s="17">
        <f>C31*rendimento_carteira</f>
        <v>233.30815551767495</v>
      </c>
    </row>
    <row r="32" spans="1:6" ht="15.6">
      <c r="B32" s="22" t="s">
        <v>9</v>
      </c>
      <c r="C32" s="16">
        <f>FV($D$24,$A28*12,$D$22*-1)</f>
        <v>102182.98044321578</v>
      </c>
      <c r="D32" s="17">
        <f>C32*rendimento_carteira</f>
        <v>1021.8298044321579</v>
      </c>
    </row>
    <row r="33" spans="2:4" ht="16.2" thickBot="1">
      <c r="B33" s="23" t="s">
        <v>10</v>
      </c>
      <c r="C33" s="18">
        <f>FV($D$24,$A29*12,$D$22*-1)</f>
        <v>368683.04745853762</v>
      </c>
      <c r="D33" s="19">
        <f>C33*rendimento_carteira</f>
        <v>3686.8304745853761</v>
      </c>
    </row>
    <row r="35" spans="2:4" ht="15.6">
      <c r="B35" s="24"/>
    </row>
    <row r="37" spans="2:4">
      <c r="B37" s="25" t="s">
        <v>21</v>
      </c>
      <c r="C37" s="28" t="s">
        <v>19</v>
      </c>
      <c r="D37" s="25"/>
    </row>
    <row r="38" spans="2:4">
      <c r="B38" s="29" t="s">
        <v>20</v>
      </c>
      <c r="C38" s="30">
        <f>aporte</f>
        <v>100</v>
      </c>
      <c r="D38" s="29"/>
    </row>
    <row r="40" spans="2:4">
      <c r="B40" s="40" t="s">
        <v>24</v>
      </c>
      <c r="C40" s="40" t="s">
        <v>22</v>
      </c>
      <c r="D40" s="40" t="s">
        <v>23</v>
      </c>
    </row>
    <row r="41" spans="2:4">
      <c r="B41" s="41" t="s">
        <v>25</v>
      </c>
      <c r="C41" s="42">
        <f>VLOOKUP($C$37&amp;"-"&amp;B41,TABELA!$A:$D,4,FALSE)</f>
        <v>0.3</v>
      </c>
      <c r="D41" s="43">
        <f t="shared" ref="D41:D46" si="0">C41*$C$38</f>
        <v>30</v>
      </c>
    </row>
    <row r="42" spans="2:4">
      <c r="B42" s="41" t="s">
        <v>26</v>
      </c>
      <c r="C42" s="42">
        <f>VLOOKUP($C$37&amp;"-"&amp;B42,TABELA!$A:$D,4,FALSE)</f>
        <v>0.5</v>
      </c>
      <c r="D42" s="43">
        <f t="shared" si="0"/>
        <v>50</v>
      </c>
    </row>
    <row r="43" spans="2:4">
      <c r="B43" s="41" t="s">
        <v>27</v>
      </c>
      <c r="C43" s="42">
        <f>VLOOKUP($C$37&amp;"-"&amp;B43,TABELA!$A:$D,4,FALSE)</f>
        <v>0.1</v>
      </c>
      <c r="D43" s="43">
        <f t="shared" si="0"/>
        <v>10</v>
      </c>
    </row>
    <row r="44" spans="2:4">
      <c r="B44" s="41" t="s">
        <v>28</v>
      </c>
      <c r="C44" s="42">
        <f>VLOOKUP($C$37&amp;"-"&amp;B44,TABELA!$A:$D,4,FALSE)</f>
        <v>0.1</v>
      </c>
      <c r="D44" s="43">
        <f t="shared" si="0"/>
        <v>10</v>
      </c>
    </row>
    <row r="45" spans="2:4">
      <c r="B45" s="41" t="s">
        <v>29</v>
      </c>
      <c r="C45" s="42">
        <f>VLOOKUP($C$37&amp;"-"&amp;B45,TABELA!$A:$D,4,FALSE)</f>
        <v>0</v>
      </c>
      <c r="D45" s="43">
        <f t="shared" si="0"/>
        <v>0</v>
      </c>
    </row>
    <row r="46" spans="2:4">
      <c r="B46" s="41" t="s">
        <v>30</v>
      </c>
      <c r="C46" s="42">
        <f>VLOOKUP($C$37&amp;"-"&amp;B46,TABELA!$A:$D,4,FALSE)</f>
        <v>0</v>
      </c>
      <c r="D46" s="43">
        <f t="shared" si="0"/>
        <v>0</v>
      </c>
    </row>
    <row r="47" spans="2:4">
      <c r="B47" s="26"/>
      <c r="C47" s="26"/>
      <c r="D47" s="27">
        <f>SUM(D41:D46)</f>
        <v>100</v>
      </c>
    </row>
    <row r="49" customFormat="1"/>
    <row r="50" customFormat="1"/>
    <row r="51" customFormat="1"/>
  </sheetData>
  <mergeCells count="11">
    <mergeCell ref="B25:C25"/>
    <mergeCell ref="B26:C26"/>
    <mergeCell ref="B28:C28"/>
    <mergeCell ref="B24:C24"/>
    <mergeCell ref="B16:D16"/>
    <mergeCell ref="B17:C17"/>
    <mergeCell ref="B18:C18"/>
    <mergeCell ref="B21:C21"/>
    <mergeCell ref="B22:C22"/>
    <mergeCell ref="B23:C23"/>
    <mergeCell ref="B19:C19"/>
  </mergeCells>
  <dataValidations count="1">
    <dataValidation type="list" allowBlank="1" showInputMessage="1" showErrorMessage="1" sqref="C37" xr:uid="{F1D3883F-B03A-4EA2-8311-3D13BB368CBD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06C2C-31DF-4711-B53B-B0C48F1793CB}">
  <dimension ref="A2:I20"/>
  <sheetViews>
    <sheetView workbookViewId="0">
      <selection activeCell="N11" sqref="N11"/>
    </sheetView>
  </sheetViews>
  <sheetFormatPr defaultRowHeight="14.4"/>
  <cols>
    <col min="1" max="1" width="28.44140625" customWidth="1"/>
    <col min="2" max="2" width="13.44140625" customWidth="1"/>
    <col min="3" max="3" width="16.77734375" customWidth="1"/>
    <col min="8" max="8" width="16.77734375" customWidth="1"/>
    <col min="9" max="9" width="9.5546875" customWidth="1"/>
  </cols>
  <sheetData>
    <row r="2" spans="1:9">
      <c r="A2" s="44" t="s">
        <v>31</v>
      </c>
      <c r="B2" s="45" t="s">
        <v>21</v>
      </c>
      <c r="C2" s="45" t="s">
        <v>24</v>
      </c>
      <c r="D2" s="45" t="s">
        <v>32</v>
      </c>
    </row>
    <row r="3" spans="1:9">
      <c r="A3" t="str">
        <f t="shared" ref="A3:A20" si="0">B3&amp;"-"&amp;C3</f>
        <v>Conservador-PAPEL</v>
      </c>
      <c r="B3" t="s">
        <v>19</v>
      </c>
      <c r="C3" s="31" t="s">
        <v>25</v>
      </c>
      <c r="D3" s="34">
        <v>0.3</v>
      </c>
    </row>
    <row r="4" spans="1:9">
      <c r="A4" t="str">
        <f t="shared" si="0"/>
        <v>Conservador-TIJOLO</v>
      </c>
      <c r="B4" t="s">
        <v>19</v>
      </c>
      <c r="C4" s="31" t="s">
        <v>26</v>
      </c>
      <c r="D4" s="34">
        <v>0.5</v>
      </c>
      <c r="I4" t="s">
        <v>32</v>
      </c>
    </row>
    <row r="5" spans="1:9">
      <c r="A5" t="str">
        <f t="shared" si="0"/>
        <v>Conservador-HÍBRIDOS</v>
      </c>
      <c r="B5" t="s">
        <v>19</v>
      </c>
      <c r="C5" s="31" t="s">
        <v>27</v>
      </c>
      <c r="D5" s="34">
        <v>0.1</v>
      </c>
      <c r="H5" s="25" t="s">
        <v>33</v>
      </c>
      <c r="I5" s="39">
        <f>VLOOKUP(H5,$A:$D,4,FALSE)</f>
        <v>0.43</v>
      </c>
    </row>
    <row r="6" spans="1:9">
      <c r="A6" t="str">
        <f t="shared" si="0"/>
        <v>Conservador-FOFs</v>
      </c>
      <c r="B6" t="s">
        <v>19</v>
      </c>
      <c r="C6" s="31" t="s">
        <v>28</v>
      </c>
      <c r="D6" s="34">
        <v>0.1</v>
      </c>
    </row>
    <row r="7" spans="1:9">
      <c r="A7" t="str">
        <f t="shared" si="0"/>
        <v>Conservador-DESENVOLVIMENTO</v>
      </c>
      <c r="B7" t="s">
        <v>19</v>
      </c>
      <c r="C7" s="31" t="s">
        <v>29</v>
      </c>
      <c r="D7" s="34">
        <v>0</v>
      </c>
    </row>
    <row r="8" spans="1:9" ht="15" thickBot="1">
      <c r="A8" s="32" t="str">
        <f t="shared" si="0"/>
        <v>Conservador-HOTELARIAS</v>
      </c>
      <c r="B8" s="32" t="s">
        <v>19</v>
      </c>
      <c r="C8" s="33" t="s">
        <v>30</v>
      </c>
      <c r="D8" s="35">
        <v>0</v>
      </c>
    </row>
    <row r="9" spans="1:9">
      <c r="A9" t="str">
        <f t="shared" si="0"/>
        <v>Moderado-PAPEL</v>
      </c>
      <c r="B9" t="s">
        <v>18</v>
      </c>
      <c r="C9" s="31" t="s">
        <v>25</v>
      </c>
      <c r="D9" s="34">
        <v>0.32</v>
      </c>
    </row>
    <row r="10" spans="1:9">
      <c r="A10" s="36" t="str">
        <f t="shared" si="0"/>
        <v>Moderado-TIJOLO</v>
      </c>
      <c r="B10" s="36" t="s">
        <v>18</v>
      </c>
      <c r="C10" s="37" t="s">
        <v>26</v>
      </c>
      <c r="D10" s="38">
        <v>0.43</v>
      </c>
    </row>
    <row r="11" spans="1:9">
      <c r="A11" t="str">
        <f t="shared" si="0"/>
        <v>Moderado-HÍBRIDOS</v>
      </c>
      <c r="B11" t="s">
        <v>18</v>
      </c>
      <c r="C11" s="31" t="s">
        <v>27</v>
      </c>
      <c r="D11" s="34">
        <v>0.08</v>
      </c>
    </row>
    <row r="12" spans="1:9">
      <c r="A12" t="str">
        <f t="shared" si="0"/>
        <v>Moderado-FOFs</v>
      </c>
      <c r="B12" t="s">
        <v>18</v>
      </c>
      <c r="C12" s="31" t="s">
        <v>28</v>
      </c>
      <c r="D12" s="34">
        <v>0.1</v>
      </c>
    </row>
    <row r="13" spans="1:9">
      <c r="A13" t="str">
        <f t="shared" si="0"/>
        <v>Moderado-DESENVOLVIMENTO</v>
      </c>
      <c r="B13" t="s">
        <v>18</v>
      </c>
      <c r="C13" s="31" t="s">
        <v>29</v>
      </c>
      <c r="D13" s="34">
        <v>0.05</v>
      </c>
    </row>
    <row r="14" spans="1:9" ht="15" thickBot="1">
      <c r="A14" s="32" t="str">
        <f t="shared" si="0"/>
        <v>Moderado-HOTELARIAS</v>
      </c>
      <c r="B14" s="32" t="s">
        <v>18</v>
      </c>
      <c r="C14" s="33" t="s">
        <v>30</v>
      </c>
      <c r="D14" s="35">
        <v>0.02</v>
      </c>
    </row>
    <row r="15" spans="1:9">
      <c r="A15" t="str">
        <f t="shared" si="0"/>
        <v>Agressivo-PAPEL</v>
      </c>
      <c r="B15" t="s">
        <v>17</v>
      </c>
      <c r="C15" s="31" t="s">
        <v>25</v>
      </c>
      <c r="D15" s="34">
        <v>0.5</v>
      </c>
    </row>
    <row r="16" spans="1:9">
      <c r="A16" t="str">
        <f t="shared" si="0"/>
        <v>Agressivo-TIJOLO</v>
      </c>
      <c r="B16" t="s">
        <v>17</v>
      </c>
      <c r="C16" s="31" t="s">
        <v>26</v>
      </c>
      <c r="D16" s="34">
        <v>0.2</v>
      </c>
    </row>
    <row r="17" spans="1:4">
      <c r="A17" t="str">
        <f t="shared" si="0"/>
        <v>Agressivo-HÍBRIDOS</v>
      </c>
      <c r="B17" t="s">
        <v>17</v>
      </c>
      <c r="C17" s="31" t="s">
        <v>27</v>
      </c>
      <c r="D17" s="34">
        <v>0.15</v>
      </c>
    </row>
    <row r="18" spans="1:4">
      <c r="A18" t="str">
        <f t="shared" si="0"/>
        <v>Agressivo-FOFs</v>
      </c>
      <c r="B18" t="s">
        <v>17</v>
      </c>
      <c r="C18" s="31" t="s">
        <v>28</v>
      </c>
      <c r="D18" s="34">
        <v>0.05</v>
      </c>
    </row>
    <row r="19" spans="1:4">
      <c r="A19" t="str">
        <f t="shared" si="0"/>
        <v>Agressivo-DESENVOLVIMENTO</v>
      </c>
      <c r="B19" t="s">
        <v>17</v>
      </c>
      <c r="C19" s="31" t="s">
        <v>29</v>
      </c>
      <c r="D19" s="34">
        <v>0.05</v>
      </c>
    </row>
    <row r="20" spans="1:4">
      <c r="A20" t="str">
        <f t="shared" si="0"/>
        <v>Agressivo-HOTELARIAS</v>
      </c>
      <c r="B20" t="s">
        <v>17</v>
      </c>
      <c r="C20" s="31" t="s">
        <v>30</v>
      </c>
      <c r="D20" s="34">
        <v>0.05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 IMOBI INVEST</vt:lpstr>
      <vt:lpstr>TABELA</vt:lpstr>
      <vt:lpstr>aporte</vt:lpstr>
      <vt:lpstr>patrimonio</vt:lpstr>
      <vt:lpstr>qtde_anos</vt:lpstr>
      <vt:lpstr>rendimento_carteira</vt:lpstr>
      <vt:lpstr>salario</vt:lpstr>
      <vt:lpstr>sugetao_investimento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Ronaldo Sabino</dc:creator>
  <cp:lastModifiedBy>Ronaldo Sabino</cp:lastModifiedBy>
  <dcterms:created xsi:type="dcterms:W3CDTF">2026-03-01T14:38:34Z</dcterms:created>
  <dcterms:modified xsi:type="dcterms:W3CDTF">2026-03-03T10:38:13Z</dcterms:modified>
</cp:coreProperties>
</file>